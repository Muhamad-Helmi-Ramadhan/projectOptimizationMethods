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<sst xmlns="http://schemas.openxmlformats.org/spreadsheetml/2006/main" count="22" uniqueCount="17">
  <si>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A (Item)</t>
  </si>
  <si>
    <t>B (Biaya)</t>
  </si>
  <si>
    <t>C (Prioritas)</t>
  </si>
  <si>
    <t>D (Value/Cost)</t>
  </si>
  <si>
    <t>Konsumsi</t>
  </si>
  <si>
    <t>Contoh Budget : 3.500.000</t>
  </si>
  <si>
    <t>Transport</t>
  </si>
  <si>
    <t>Internet</t>
  </si>
  <si>
    <t>Investasi</t>
  </si>
  <si>
    <t>Hiburan</t>
  </si>
  <si>
    <t>Item</t>
  </si>
  <si>
    <t>Ambil (0/1)</t>
  </si>
  <si>
    <t>Biaya Terpakai</t>
  </si>
  <si>
    <t>Prioritas</t>
  </si>
  <si>
    <t>🔹 Total Biaya</t>
  </si>
  <si>
    <t>🔹 Total Prioritas</t>
  </si>
  <si>
    <t>🔹 Valid / Dipangkas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</si>
</sst>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2000000.0</v>
      </c>
      <c r="C2" s="2">
        <v>10.0</v>
      </c>
      <c r="D2" s="4">
        <f t="shared" ref="D2:D6" si="1">C2/B2</f>
        <v>0.000005</v>
      </c>
      <c r="F2" s="2" t="s">
        <v>5</v>
      </c>
    </row>
    <row r="3">
      <c r="A3" s="2" t="s">
        <v>6</v>
      </c>
      <c r="B3" s="3">
        <v>1000000.0</v>
      </c>
      <c r="C3" s="2">
        <v>7.0</v>
      </c>
      <c r="D3" s="4">
        <f t="shared" si="1"/>
        <v>0.000007</v>
      </c>
    </row>
    <row r="4">
      <c r="A4" s="2" t="s">
        <v>7</v>
      </c>
      <c r="B4" s="3">
        <v>500000.0</v>
      </c>
      <c r="C4" s="2">
        <v>6.0</v>
      </c>
      <c r="D4" s="4">
        <f t="shared" si="1"/>
        <v>0.000012</v>
      </c>
    </row>
    <row r="5">
      <c r="A5" s="2" t="s">
        <v>8</v>
      </c>
      <c r="B5" s="3">
        <v>1500000.0</v>
      </c>
      <c r="C5" s="2">
        <v>4.0</v>
      </c>
      <c r="D5" s="4">
        <f t="shared" si="1"/>
        <v>0.000002666666667</v>
      </c>
    </row>
    <row r="6">
      <c r="A6" s="2" t="s">
        <v>9</v>
      </c>
      <c r="B6" s="3">
        <v>1000000.0</v>
      </c>
      <c r="C6" s="2">
        <v>2.0</v>
      </c>
      <c r="D6" s="4">
        <f t="shared" si="1"/>
        <v>0.000002</v>
      </c>
    </row>
    <row r="8">
      <c r="A8" s="2" t="s">
        <v>10</v>
      </c>
      <c r="B8" s="2" t="s">
        <v>11</v>
      </c>
      <c r="C8" s="2" t="s">
        <v>12</v>
      </c>
      <c r="D8" s="2" t="s">
        <v>13</v>
      </c>
    </row>
    <row r="9">
      <c r="A9" s="2" t="s">
        <v>4</v>
      </c>
      <c r="B9" s="2">
        <v>1.0</v>
      </c>
      <c r="C9" s="4">
        <f t="shared" ref="C9:C13" si="2">B9*VLOOKUP(A9,$A$2:$C$6,2,FALSE)</f>
        <v>2000000</v>
      </c>
      <c r="D9" s="4">
        <f t="shared" ref="D9:D13" si="3">B9*VLOOKUP(A9,$A$2:$C$6,3,FALSE)
</f>
        <v>10</v>
      </c>
    </row>
    <row r="10">
      <c r="A10" s="2" t="s">
        <v>6</v>
      </c>
      <c r="B10" s="2">
        <v>1.0</v>
      </c>
      <c r="C10" s="4">
        <f t="shared" si="2"/>
        <v>1000000</v>
      </c>
      <c r="D10" s="4">
        <f t="shared" si="3"/>
        <v>7</v>
      </c>
    </row>
    <row r="11">
      <c r="A11" s="2" t="s">
        <v>7</v>
      </c>
      <c r="B11" s="2">
        <v>1.0</v>
      </c>
      <c r="C11" s="4">
        <f t="shared" si="2"/>
        <v>500000</v>
      </c>
      <c r="D11" s="4">
        <f t="shared" si="3"/>
        <v>6</v>
      </c>
    </row>
    <row r="12">
      <c r="A12" s="2" t="s">
        <v>8</v>
      </c>
      <c r="B12" s="2">
        <v>0.0</v>
      </c>
      <c r="C12" s="4">
        <f t="shared" si="2"/>
        <v>0</v>
      </c>
      <c r="D12" s="4">
        <f t="shared" si="3"/>
        <v>0</v>
      </c>
    </row>
    <row r="13">
      <c r="A13" s="2" t="s">
        <v>9</v>
      </c>
      <c r="B13" s="2">
        <v>0.0</v>
      </c>
      <c r="C13" s="4">
        <f t="shared" si="2"/>
        <v>0</v>
      </c>
      <c r="D13" s="4">
        <f t="shared" si="3"/>
        <v>0</v>
      </c>
    </row>
    <row r="15">
      <c r="A15" s="5" t="s">
        <v>14</v>
      </c>
      <c r="C15" s="5" t="s">
        <v>15</v>
      </c>
      <c r="F15" s="5" t="s">
        <v>16</v>
      </c>
    </row>
    <row r="16">
      <c r="A16" s="4">
        <f>SUM(C9:C13)
</f>
        <v>3500000</v>
      </c>
      <c r="C16" s="4">
        <f>SUM(D9:D13)
</f>
        <v>23</v>
      </c>
      <c r="F16" s="4" t="str">
        <f>IF(C15&lt;=F2,"VALID","DIPANGKAS")
</f>
        <v>VALID</v>
      </c>
    </row>
  </sheetData>
  <drawing r:id="rId1"/>
</worksheet>
</file>